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87b311d35343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摘要" sheetId="1" r:id="R03323028e4584a9c"/>
    <x:sheet xmlns:r="http://schemas.openxmlformats.org/officeDocument/2006/relationships" name="历史台账" sheetId="2" r:id="Redc2352d606f43ee"/>
    <x:sheet xmlns:r="http://schemas.openxmlformats.org/officeDocument/2006/relationships" name="规则说明" sheetId="3" r:id="R0bec97c76b4c4c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¥#,##0.0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sz val="11"/>
      <x:color rgb="FF6B4F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2A6F97"/>
      </x:patternFill>
    </x:fill>
    <x:fill>
      <x:patternFill patternType="solid">
        <x:fgColor rgb="FFEAF2F8"/>
      </x:patternFill>
    </x:fill>
    <x:fill>
      <x:patternFill patternType="solid">
        <x:fgColor rgb="FFFFF4D6"/>
      </x:patternFill>
    </x:fill>
  </x:fills>
  <x:borders count="19">
    <x:border/>
    <x:border>
      <x:left style="thin">
        <x:color rgb="FF9FB3C8"/>
      </x:left>
      <x:top style="thin">
        <x:color rgb="FF9FB3C8"/>
      </x:top>
    </x:border>
    <x:border>
      <x:right style="thin">
        <x:color rgb="FF9FB3C8"/>
      </x:right>
      <x:top style="thin">
        <x:color rgb="FF9FB3C8"/>
      </x:top>
    </x:border>
    <x:border>
      <x:left style="thin">
        <x:color rgb="FF9FB3C8"/>
      </x:left>
    </x:border>
    <x:border>
      <x:right style="thin">
        <x:color rgb="FF9FB3C8"/>
      </x:right>
    </x:border>
    <x:border>
      <x:left style="thin">
        <x:color rgb="FF9FB3C8"/>
      </x:left>
      <x:bottom style="thin">
        <x:color rgb="FF9FB3C8"/>
      </x:bottom>
    </x:border>
    <x:border>
      <x:right style="thin">
        <x:color rgb="FF9FB3C8"/>
      </x:right>
      <x:bottom style="thin">
        <x:color rgb="FF9FB3C8"/>
      </x:bottom>
    </x:border>
    <x:border>
      <x:bottom style="thin">
        <x:color rgb="FFD9E2EC"/>
      </x:bottom>
    </x:border>
    <x:border>
      <x:top style="thin">
        <x:color rgb="FFD9E2EC"/>
      </x:top>
      <x:bottom style="thin">
        <x:color rgb="FFD9E2EC"/>
      </x:bottom>
    </x:border>
    <x:border>
      <x:top style="thin">
        <x:color rgb="FFD9E2EC"/>
      </x:top>
      <x:bottom style="thin">
        <x:color rgb="FF9FB3C8"/>
      </x:bottom>
    </x:border>
    <x:border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  <x:right style="thin">
        <x:color rgb="FFD9E2EC"/>
      </x:right>
      <x:top style="thin">
        <x:color rgb="FFD9E2EC"/>
      </x:top>
    </x:border>
    <x:border>
      <x:left style="thin">
        <x:color rgb="FFD9E2EC"/>
      </x:left>
      <x:top style="thin">
        <x:color rgb="FFD9E2EC"/>
      </x:top>
    </x:border>
  </x:borders>
  <x:cellStyleXfs count="1">
    <x:xf numFmtId="0" fontId="0" fillId="0" borderId="0"/>
  </x:cellStyleXfs>
  <x:cellXfs count="4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3" fillId="4" borderId="3" xfId="0" applyNumberFormat="1" applyFont="1" applyFill="1" applyBorder="1"/>
    <x:xf numFmtId="0" fontId="0" fillId="0" borderId="4" xfId="0" applyNumberFormat="1" applyFont="1" applyFill="1" applyBorder="1"/>
    <x:xf numFmtId="0" fontId="3" fillId="4" borderId="5" xfId="0" applyNumberFormat="1" applyFont="1" applyFill="1" applyBorder="1"/>
    <x:xf numFmtId="0" fontId="0" fillId="0" borderId="6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/>
    <x:xf numFmtId="0" fontId="2" fillId="2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0" fillId="0" borderId="8" xfId="0" applyNumberFormat="1" applyFont="1" applyFill="1" applyBorder="1"/>
    <x:xf numFmtId="200" fontId="0" fillId="0" borderId="9" xfId="0" applyNumberFormat="1" applyFont="1" applyFill="1" applyBorder="1"/>
    <x:xf numFmtId="201" fontId="0" fillId="0" borderId="8" xfId="0" applyNumberFormat="1" applyFont="1" applyFill="1" applyBorder="1"/>
    <x:xf numFmtId="201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166534"/>
      </x:font>
      <x:fill>
        <x:patternFill patternType="solid">
          <x:bgColor rgb="FFE4F4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78b3e4b6204155" /><Relationship Type="http://schemas.openxmlformats.org/officeDocument/2006/relationships/theme" Target="/xl/theme/theme1.xml" Id="R82917553a59942b0" /><Relationship Type="http://schemas.openxmlformats.org/officeDocument/2006/relationships/sharedStrings" Target="/xl/sharedStrings.xml" Id="R52190f121bbf4054" /><Relationship Type="http://schemas.openxmlformats.org/officeDocument/2006/relationships/worksheet" Target="/xl/worksheets/sheet1.xml" Id="R03323028e4584a9c" /><Relationship Type="http://schemas.openxmlformats.org/officeDocument/2006/relationships/worksheet" Target="/xl/worksheets/sheet2.xml" Id="Redc2352d606f43ee" /><Relationship Type="http://schemas.openxmlformats.org/officeDocument/2006/relationships/worksheet" Target="/xl/worksheets/sheet3.xml" Id="R0bec97c76b4c4c43" /></Relationships>
</file>

<file path=xl/tables/table1.xml><?xml version="1.0" encoding="utf-8"?>
<x:table xmlns:x="http://schemas.openxmlformats.org/spreadsheetml/2006/main" id="1" name="HistoricalLedgerTable" displayName="HistoricalLedgerTable" ref="A1:I21" headerRowCount="1" totalsRowCount="0" totalsRowShown="0">
  <x:tableColumns count="9">
    <x:tableColumn id="1" name="record_id"/>
    <x:tableColumn id="2" name="invoice_code"/>
    <x:tableColumn id="3" name="invoice_number"/>
    <x:tableColumn id="4" name="issue_date"/>
    <x:tableColumn id="5" name="seller_name"/>
    <x:tableColumn id="6" name="seller_tax_id"/>
    <x:tableColumn id="7" name="total_amount"/>
    <x:tableColumn id="8" name="reimbursement_status"/>
    <x:tableColumn id="9" name="data_origi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3617856ee60425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2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34" customHeight="1">
      <x:c r="A1" s="4" t="str">
        <x:v>发票历史报销台账（作品集演示数据）</x:v>
      </x:c>
      <x:c r="B1" s="4"/>
      <x:c r="C1" s="4"/>
      <x:c r="D1" s="4"/>
      <x:c r="E1" s="4"/>
      <x:c r="F1" s="4"/>
    </x:row>
    <x:row r="3">
      <x:c r="A3" s="9" t="str">
        <x:v>指标</x:v>
      </x:c>
      <x:c r="B3" s="10" t="str">
        <x:v>数值</x:v>
      </x:c>
    </x:row>
    <x:row r="4">
      <x:c r="A4" s="11" t="str">
        <x:v>历史记录数</x:v>
      </x:c>
      <x:c r="B4" s="12" t="n">
        <x:f>COUNTA('历史台账'!$A$2:$A$21)</x:f>
        <x:v>20</x:v>
      </x:c>
    </x:row>
    <x:row r="5">
      <x:c r="A5" s="11" t="str">
        <x:v>已支付记录</x:v>
      </x:c>
      <x:c r="B5" s="12" t="n">
        <x:f>COUNTIF('历史台账'!$H$2:$H$21,"paid")</x:f>
        <x:v>20</x:v>
      </x:c>
    </x:row>
    <x:row r="6">
      <x:c r="A6" s="13" t="str">
        <x:v>数据性质</x:v>
      </x:c>
      <x:c r="B6" s="14" t="str">
        <x:v>全部为作品集演示合成数据</x:v>
      </x:c>
    </x:row>
    <x:row r="8">
      <x:c r="A8" s="18" t="str">
        <x:v>用途：验证批次查重与历史台账比对。H-001 用于精确历史重复样例；H-002 用于疑似重复样例。该表不代表真实企业报销记录，不能用于财务入账或税务判断。</x:v>
      </x:c>
      <x:c r="B8" s="18"/>
      <x:c r="C8" s="18"/>
      <x:c r="D8" s="18"/>
      <x:c r="E8" s="18"/>
      <x:c r="F8" s="18"/>
    </x:row>
    <x:row r="9">
      <x:c r="A9" s="18"/>
      <x:c r="B9" s="18"/>
      <x:c r="C9" s="18"/>
      <x:c r="D9" s="18"/>
      <x:c r="E9" s="18"/>
      <x:c r="F9" s="18"/>
    </x:row>
    <x:row r="10">
      <x:c r="A10" s="18"/>
      <x:c r="B10" s="18"/>
      <x:c r="C10" s="18"/>
      <x:c r="D10" s="18"/>
      <x:c r="E10" s="18"/>
      <x:c r="F10" s="18"/>
    </x:row>
  </x:sheetData>
  <x:mergeCells>
    <x:mergeCell ref="A1:F1"/>
    <x:mergeCell ref="A8:F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5" hidden="0" customWidth="1"/>
    <x:col min="4" max="4" width="14" hidden="0" customWidth="1"/>
    <x:col min="5" max="5" width="30" hidden="0" customWidth="1"/>
    <x:col min="6" max="6" width="24" hidden="0" customWidth="1"/>
    <x:col min="7" max="7" width="14" hidden="0" customWidth="1"/>
    <x:col min="8" max="8" width="20" hidden="0" customWidth="1"/>
    <x:col min="9" max="9" width="24" hidden="0" customWidth="1"/>
  </x:cols>
  <x:sheetData>
    <x:row r="1">
      <x:c r="A1" s="20" t="str">
        <x:v>record_id</x:v>
      </x:c>
      <x:c r="B1" s="20" t="str">
        <x:v>invoice_code</x:v>
      </x:c>
      <x:c r="C1" s="20" t="str">
        <x:v>invoice_number</x:v>
      </x:c>
      <x:c r="D1" s="20" t="str">
        <x:v>issue_date</x:v>
      </x:c>
      <x:c r="E1" s="20" t="str">
        <x:v>seller_name</x:v>
      </x:c>
      <x:c r="F1" s="20" t="str">
        <x:v>seller_tax_id</x:v>
      </x:c>
      <x:c r="G1" s="20" t="str">
        <x:v>total_amount</x:v>
      </x:c>
      <x:c r="H1" s="20" t="str">
        <x:v>reimbursement_status</x:v>
      </x:c>
      <x:c r="I1" s="20" t="str">
        <x:v>data_origin</x:v>
      </x:c>
    </x:row>
    <x:row r="2">
      <x:c r="A2" s="21" t="str">
        <x:v>H-001</x:v>
      </x:c>
      <x:c r="B2" s="21" t="str"/>
      <x:c r="C2" s="21" t="str">
        <x:v>DEMO-INV-20260516-002</x:v>
      </x:c>
      <x:c r="D2" s="23" t="n">
        <x:v>46158</x:v>
      </x:c>
      <x:c r="E2" s="21" t="str">
        <x:v>演示电子科技有限公司</x:v>
      </x:c>
      <x:c r="F2" s="21" t="str">
        <x:v>SELLER-TAX-DEMO-002</x:v>
      </x:c>
      <x:c r="G2" s="25" t="n">
        <x:v>88.2</x:v>
      </x:c>
      <x:c r="H2" s="21" t="str">
        <x:v>paid</x:v>
      </x:c>
      <x:c r="I2" s="21" t="str">
        <x:v>synthetic_for_demo</x:v>
      </x:c>
    </x:row>
    <x:row r="3">
      <x:c r="A3" s="21" t="str">
        <x:v>H-002</x:v>
      </x:c>
      <x:c r="B3" s="21" t="str"/>
      <x:c r="C3" s="21" t="str">
        <x:v>DEMO-HIST-002</x:v>
      </x:c>
      <x:c r="D3" s="23" t="n">
        <x:v>46152</x:v>
      </x:c>
      <x:c r="E3" s="21" t="str">
        <x:v>演示文具有限公司</x:v>
      </x:c>
      <x:c r="F3" s="21" t="str">
        <x:v>SELLER-TAX-DEMO-004</x:v>
      </x:c>
      <x:c r="G3" s="25" t="n">
        <x:v>40.9</x:v>
      </x:c>
      <x:c r="H3" s="21" t="str">
        <x:v>paid</x:v>
      </x:c>
      <x:c r="I3" s="21" t="str">
        <x:v>synthetic_for_demo</x:v>
      </x:c>
    </x:row>
    <x:row r="4">
      <x:c r="A4" s="21" t="str">
        <x:v>H-003</x:v>
      </x:c>
      <x:c r="B4" s="21" t="str"/>
      <x:c r="C4" s="21" t="str">
        <x:v>DEMO-HIST-003</x:v>
      </x:c>
      <x:c r="D4" s="23" t="n">
        <x:v>46113</x:v>
      </x:c>
      <x:c r="E4" s="21" t="str">
        <x:v>上海示例办公用品有限公司</x:v>
      </x:c>
      <x:c r="F4" s="21" t="str">
        <x:v>91310000DEMO000003</x:v>
      </x:c>
      <x:c r="G4" s="25" t="n">
        <x:v>126.8</x:v>
      </x:c>
      <x:c r="H4" s="21" t="str">
        <x:v>paid</x:v>
      </x:c>
      <x:c r="I4" s="21" t="str">
        <x:v>synthetic_for_demo</x:v>
      </x:c>
    </x:row>
    <x:row r="5">
      <x:c r="A5" s="21" t="str">
        <x:v>H-004</x:v>
      </x:c>
      <x:c r="B5" s="21" t="str"/>
      <x:c r="C5" s="21" t="str">
        <x:v>DEMO-HIST-004</x:v>
      </x:c>
      <x:c r="D5" s="23" t="n">
        <x:v>46114</x:v>
      </x:c>
      <x:c r="E5" s="21" t="str">
        <x:v>上海示例交通服务有限公司</x:v>
      </x:c>
      <x:c r="F5" s="21" t="str">
        <x:v>91310000DEMO000004</x:v>
      </x:c>
      <x:c r="G5" s="25" t="n">
        <x:v>52</x:v>
      </x:c>
      <x:c r="H5" s="21" t="str">
        <x:v>paid</x:v>
      </x:c>
      <x:c r="I5" s="21" t="str">
        <x:v>synthetic_for_demo</x:v>
      </x:c>
    </x:row>
    <x:row r="6">
      <x:c r="A6" s="21" t="str">
        <x:v>H-005</x:v>
      </x:c>
      <x:c r="B6" s="21" t="str"/>
      <x:c r="C6" s="21" t="str">
        <x:v>DEMO-HIST-005</x:v>
      </x:c>
      <x:c r="D6" s="23" t="n">
        <x:v>46115</x:v>
      </x:c>
      <x:c r="E6" s="21" t="str">
        <x:v>杭州示例科技有限公司</x:v>
      </x:c>
      <x:c r="F6" s="21" t="str">
        <x:v>91330100DEMO000005</x:v>
      </x:c>
      <x:c r="G6" s="25" t="n">
        <x:v>299</x:v>
      </x:c>
      <x:c r="H6" s="21" t="str">
        <x:v>paid</x:v>
      </x:c>
      <x:c r="I6" s="21" t="str">
        <x:v>synthetic_for_demo</x:v>
      </x:c>
    </x:row>
    <x:row r="7">
      <x:c r="A7" s="21" t="str">
        <x:v>H-006</x:v>
      </x:c>
      <x:c r="B7" s="21" t="str"/>
      <x:c r="C7" s="21" t="str">
        <x:v>DEMO-HIST-006</x:v>
      </x:c>
      <x:c r="D7" s="23" t="n">
        <x:v>46117</x:v>
      </x:c>
      <x:c r="E7" s="21" t="str">
        <x:v>苏州示例酒店有限公司</x:v>
      </x:c>
      <x:c r="F7" s="21" t="str">
        <x:v>91320500DEMO000006</x:v>
      </x:c>
      <x:c r="G7" s="25" t="n">
        <x:v>568</x:v>
      </x:c>
      <x:c r="H7" s="21" t="str">
        <x:v>paid</x:v>
      </x:c>
      <x:c r="I7" s="21" t="str">
        <x:v>synthetic_for_demo</x:v>
      </x:c>
    </x:row>
    <x:row r="8">
      <x:c r="A8" s="21" t="str">
        <x:v>H-007</x:v>
      </x:c>
      <x:c r="B8" s="21" t="str"/>
      <x:c r="C8" s="21" t="str">
        <x:v>DEMO-HIST-007</x:v>
      </x:c>
      <x:c r="D8" s="23" t="n">
        <x:v>46118</x:v>
      </x:c>
      <x:c r="E8" s="21" t="str">
        <x:v>南京示例餐饮有限公司</x:v>
      </x:c>
      <x:c r="F8" s="21" t="str">
        <x:v>91320100DEMO000007</x:v>
      </x:c>
      <x:c r="G8" s="25" t="n">
        <x:v>186.5</x:v>
      </x:c>
      <x:c r="H8" s="21" t="str">
        <x:v>paid</x:v>
      </x:c>
      <x:c r="I8" s="21" t="str">
        <x:v>synthetic_for_demo</x:v>
      </x:c>
    </x:row>
    <x:row r="9">
      <x:c r="A9" s="21" t="str">
        <x:v>H-008</x:v>
      </x:c>
      <x:c r="B9" s="21" t="str"/>
      <x:c r="C9" s="21" t="str">
        <x:v>DEMO-HIST-008</x:v>
      </x:c>
      <x:c r="D9" s="23" t="n">
        <x:v>46120</x:v>
      </x:c>
      <x:c r="E9" s="21" t="str">
        <x:v>北京示例出行有限公司</x:v>
      </x:c>
      <x:c r="F9" s="21" t="str">
        <x:v>91110100DEMO000008</x:v>
      </x:c>
      <x:c r="G9" s="25" t="n">
        <x:v>78.3</x:v>
      </x:c>
      <x:c r="H9" s="21" t="str">
        <x:v>paid</x:v>
      </x:c>
      <x:c r="I9" s="21" t="str">
        <x:v>synthetic_for_demo</x:v>
      </x:c>
    </x:row>
    <x:row r="10">
      <x:c r="A10" s="21" t="str">
        <x:v>H-009</x:v>
      </x:c>
      <x:c r="B10" s="21" t="str"/>
      <x:c r="C10" s="21" t="str">
        <x:v>DEMO-HIST-009</x:v>
      </x:c>
      <x:c r="D10" s="23" t="n">
        <x:v>46122</x:v>
      </x:c>
      <x:c r="E10" s="21" t="str">
        <x:v>广州示例印刷有限公司</x:v>
      </x:c>
      <x:c r="F10" s="21" t="str">
        <x:v>91440100DEMO000009</x:v>
      </x:c>
      <x:c r="G10" s="25" t="n">
        <x:v>430</x:v>
      </x:c>
      <x:c r="H10" s="21" t="str">
        <x:v>paid</x:v>
      </x:c>
      <x:c r="I10" s="21" t="str">
        <x:v>synthetic_for_demo</x:v>
      </x:c>
    </x:row>
    <x:row r="11">
      <x:c r="A11" s="21" t="str">
        <x:v>H-010</x:v>
      </x:c>
      <x:c r="B11" s="21" t="str"/>
      <x:c r="C11" s="21" t="str">
        <x:v>DEMO-HIST-010</x:v>
      </x:c>
      <x:c r="D11" s="23" t="n">
        <x:v>46124</x:v>
      </x:c>
      <x:c r="E11" s="21" t="str">
        <x:v>深圳示例电子有限公司</x:v>
      </x:c>
      <x:c r="F11" s="21" t="str">
        <x:v>91440300DEMO000010</x:v>
      </x:c>
      <x:c r="G11" s="25" t="n">
        <x:v>159.9</x:v>
      </x:c>
      <x:c r="H11" s="21" t="str">
        <x:v>paid</x:v>
      </x:c>
      <x:c r="I11" s="21" t="str">
        <x:v>synthetic_for_demo</x:v>
      </x:c>
    </x:row>
    <x:row r="12">
      <x:c r="A12" s="21" t="str">
        <x:v>H-011</x:v>
      </x:c>
      <x:c r="B12" s="21" t="str"/>
      <x:c r="C12" s="21" t="str">
        <x:v>DEMO-HIST-011</x:v>
      </x:c>
      <x:c r="D12" s="23" t="n">
        <x:v>46125</x:v>
      </x:c>
      <x:c r="E12" s="21" t="str">
        <x:v>长沙示例商贸有限公司</x:v>
      </x:c>
      <x:c r="F12" s="21" t="str">
        <x:v>91430100DEMO000011</x:v>
      </x:c>
      <x:c r="G12" s="25" t="n">
        <x:v>98</x:v>
      </x:c>
      <x:c r="H12" s="21" t="str">
        <x:v>paid</x:v>
      </x:c>
      <x:c r="I12" s="21" t="str">
        <x:v>synthetic_for_demo</x:v>
      </x:c>
    </x:row>
    <x:row r="13">
      <x:c r="A13" s="21" t="str">
        <x:v>H-012</x:v>
      </x:c>
      <x:c r="B13" s="21" t="str"/>
      <x:c r="C13" s="21" t="str">
        <x:v>DEMO-HIST-012</x:v>
      </x:c>
      <x:c r="D13" s="23" t="n">
        <x:v>46127</x:v>
      </x:c>
      <x:c r="E13" s="21" t="str">
        <x:v>武汉示例会务有限公司</x:v>
      </x:c>
      <x:c r="F13" s="21" t="str">
        <x:v>91420100DEMO000012</x:v>
      </x:c>
      <x:c r="G13" s="25" t="n">
        <x:v>1200</x:v>
      </x:c>
      <x:c r="H13" s="21" t="str">
        <x:v>paid</x:v>
      </x:c>
      <x:c r="I13" s="21" t="str">
        <x:v>synthetic_for_demo</x:v>
      </x:c>
    </x:row>
    <x:row r="14">
      <x:c r="A14" s="21" t="str">
        <x:v>H-013</x:v>
      </x:c>
      <x:c r="B14" s="21" t="str"/>
      <x:c r="C14" s="21" t="str">
        <x:v>DEMO-HIST-013</x:v>
      </x:c>
      <x:c r="D14" s="23" t="n">
        <x:v>46129</x:v>
      </x:c>
      <x:c r="E14" s="21" t="str">
        <x:v>成都示例广告有限公司</x:v>
      </x:c>
      <x:c r="F14" s="21" t="str">
        <x:v>91510100DEMO000013</x:v>
      </x:c>
      <x:c r="G14" s="25" t="n">
        <x:v>680</x:v>
      </x:c>
      <x:c r="H14" s="21" t="str">
        <x:v>paid</x:v>
      </x:c>
      <x:c r="I14" s="21" t="str">
        <x:v>synthetic_for_demo</x:v>
      </x:c>
    </x:row>
    <x:row r="15">
      <x:c r="A15" s="21" t="str">
        <x:v>H-014</x:v>
      </x:c>
      <x:c r="B15" s="21" t="str"/>
      <x:c r="C15" s="21" t="str">
        <x:v>DEMO-HIST-014</x:v>
      </x:c>
      <x:c r="D15" s="23" t="n">
        <x:v>46130</x:v>
      </x:c>
      <x:c r="E15" s="21" t="str">
        <x:v>重庆示例物流有限公司</x:v>
      </x:c>
      <x:c r="F15" s="21" t="str">
        <x:v>91500100DEMO000014</x:v>
      </x:c>
      <x:c r="G15" s="25" t="n">
        <x:v>215.6</x:v>
      </x:c>
      <x:c r="H15" s="21" t="str">
        <x:v>paid</x:v>
      </x:c>
      <x:c r="I15" s="21" t="str">
        <x:v>synthetic_for_demo</x:v>
      </x:c>
    </x:row>
    <x:row r="16">
      <x:c r="A16" s="21" t="str">
        <x:v>H-015</x:v>
      </x:c>
      <x:c r="B16" s="21" t="str"/>
      <x:c r="C16" s="21" t="str">
        <x:v>DEMO-HIST-015</x:v>
      </x:c>
      <x:c r="D16" s="23" t="n">
        <x:v>46132</x:v>
      </x:c>
      <x:c r="E16" s="21" t="str">
        <x:v>西安示例文具有限公司</x:v>
      </x:c>
      <x:c r="F16" s="21" t="str">
        <x:v>91610100DEMO000015</x:v>
      </x:c>
      <x:c r="G16" s="25" t="n">
        <x:v>65</x:v>
      </x:c>
      <x:c r="H16" s="21" t="str">
        <x:v>paid</x:v>
      </x:c>
      <x:c r="I16" s="21" t="str">
        <x:v>synthetic_for_demo</x:v>
      </x:c>
    </x:row>
    <x:row r="17">
      <x:c r="A17" s="21" t="str">
        <x:v>H-016</x:v>
      </x:c>
      <x:c r="B17" s="21" t="str"/>
      <x:c r="C17" s="21" t="str">
        <x:v>DEMO-HIST-016</x:v>
      </x:c>
      <x:c r="D17" s="23" t="n">
        <x:v>46133</x:v>
      </x:c>
      <x:c r="E17" s="21" t="str">
        <x:v>天津示例咨询有限公司</x:v>
      </x:c>
      <x:c r="F17" s="21" t="str">
        <x:v>91120100DEMO000016</x:v>
      </x:c>
      <x:c r="G17" s="25" t="n">
        <x:v>900</x:v>
      </x:c>
      <x:c r="H17" s="21" t="str">
        <x:v>paid</x:v>
      </x:c>
      <x:c r="I17" s="21" t="str">
        <x:v>synthetic_for_demo</x:v>
      </x:c>
    </x:row>
    <x:row r="18">
      <x:c r="A18" s="21" t="str">
        <x:v>H-017</x:v>
      </x:c>
      <x:c r="B18" s="21" t="str"/>
      <x:c r="C18" s="21" t="str">
        <x:v>DEMO-HIST-017</x:v>
      </x:c>
      <x:c r="D18" s="23" t="n">
        <x:v>46135</x:v>
      </x:c>
      <x:c r="E18" s="21" t="str">
        <x:v>青岛示例网络有限公司</x:v>
      </x:c>
      <x:c r="F18" s="21" t="str">
        <x:v>91370200DEMO000017</x:v>
      </x:c>
      <x:c r="G18" s="25" t="n">
        <x:v>199</x:v>
      </x:c>
      <x:c r="H18" s="21" t="str">
        <x:v>paid</x:v>
      </x:c>
      <x:c r="I18" s="21" t="str">
        <x:v>synthetic_for_demo</x:v>
      </x:c>
    </x:row>
    <x:row r="19">
      <x:c r="A19" s="21" t="str">
        <x:v>H-018</x:v>
      </x:c>
      <x:c r="B19" s="21" t="str"/>
      <x:c r="C19" s="21" t="str">
        <x:v>DEMO-HIST-018</x:v>
      </x:c>
      <x:c r="D19" s="23" t="n">
        <x:v>46137</x:v>
      </x:c>
      <x:c r="E19" s="21" t="str">
        <x:v>厦门示例文化有限公司</x:v>
      </x:c>
      <x:c r="F19" s="21" t="str">
        <x:v>91350200DEMO000018</x:v>
      </x:c>
      <x:c r="G19" s="25" t="n">
        <x:v>350</x:v>
      </x:c>
      <x:c r="H19" s="21" t="str">
        <x:v>paid</x:v>
      </x:c>
      <x:c r="I19" s="21" t="str">
        <x:v>synthetic_for_demo</x:v>
      </x:c>
    </x:row>
    <x:row r="20">
      <x:c r="A20" s="21" t="str">
        <x:v>H-019</x:v>
      </x:c>
      <x:c r="B20" s="21" t="str"/>
      <x:c r="C20" s="21" t="str">
        <x:v>DEMO-HIST-019</x:v>
      </x:c>
      <x:c r="D20" s="23" t="n">
        <x:v>46139</x:v>
      </x:c>
      <x:c r="E20" s="21" t="str">
        <x:v>济南示例培训有限公司</x:v>
      </x:c>
      <x:c r="F20" s="21" t="str">
        <x:v>91370100DEMO000019</x:v>
      </x:c>
      <x:c r="G20" s="25" t="n">
        <x:v>480</x:v>
      </x:c>
      <x:c r="H20" s="21" t="str">
        <x:v>paid</x:v>
      </x:c>
      <x:c r="I20" s="21" t="str">
        <x:v>synthetic_for_demo</x:v>
      </x:c>
    </x:row>
    <x:row r="21">
      <x:c r="A21" s="22" t="str">
        <x:v>H-020</x:v>
      </x:c>
      <x:c r="B21" s="22" t="str"/>
      <x:c r="C21" s="22" t="str">
        <x:v>DEMO-HIST-020</x:v>
      </x:c>
      <x:c r="D21" s="24" t="n">
        <x:v>46141</x:v>
      </x:c>
      <x:c r="E21" s="22" t="str">
        <x:v>郑州示例软件有限公司</x:v>
      </x:c>
      <x:c r="F21" s="22" t="str">
        <x:v>91410100DEMO000020</x:v>
      </x:c>
      <x:c r="G21" s="26" t="n">
        <x:v>260</x:v>
      </x:c>
      <x:c r="H21" s="22" t="str">
        <x:v>paid</x:v>
      </x:c>
      <x:c r="I21" s="22" t="str">
        <x:v>synthetic_for_demo</x:v>
      </x:c>
    </x:row>
  </x:sheetData>
  <x:conditionalFormatting sqref="H2:H21">
    <x:cfRule type="containsText" dxfId="0" priority="1" operator="containsText" text="paid"/>
  </x:conditionalFormatting>
  <x:dataValidations count="1">
    <x:dataValidation type="list" sqref="H2:H21">
      <x:formula1>"paid,pending,rejected"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3617856ee60425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8" hidden="0" customWidth="1"/>
    <x:col min="3" max="3" width="12" hidden="0" customWidth="1"/>
    <x:col min="4" max="4" width="28" hidden="0" customWidth="1"/>
  </x:cols>
  <x:sheetData>
    <x:row r="1">
      <x:c r="A1" s="36" t="str">
        <x:v>规则 ID</x:v>
      </x:c>
      <x:c r="B1" s="36" t="str">
        <x:v>触发条件</x:v>
      </x:c>
      <x:c r="C1" s="36" t="str">
        <x:v>风险等级</x:v>
      </x:c>
      <x:c r="D1" s="36" t="str">
        <x:v>产品动作</x:v>
      </x:c>
    </x:row>
    <x:row r="2">
      <x:c r="A2" s="37" t="str">
        <x:v>R00</x:v>
      </x:c>
      <x:c r="B2" s="38" t="str">
        <x:v>日期或金额无法解析</x:v>
      </x:c>
      <x:c r="C2" s="38" t="str">
        <x:v>中</x:v>
      </x:c>
      <x:c r="D2" s="39" t="str">
        <x:v>人工复核</x:v>
      </x:c>
    </x:row>
    <x:row r="3">
      <x:c r="A3" s="40" t="str">
        <x:v>R01</x:v>
      </x:c>
      <x:c r="B3" s="41" t="str">
        <x:v>发票号码缺失</x:v>
      </x:c>
      <x:c r="C3" s="41" t="str">
        <x:v>中</x:v>
      </x:c>
      <x:c r="D3" s="42" t="str">
        <x:v>人工复核</x:v>
      </x:c>
    </x:row>
    <x:row r="4">
      <x:c r="A4" s="40" t="str">
        <x:v>R10</x:v>
      </x:c>
      <x:c r="B4" s="41" t="str">
        <x:v>本批次文件 SHA-256 相同</x:v>
      </x:c>
      <x:c r="C4" s="41" t="str">
        <x:v>高</x:v>
      </x:c>
      <x:c r="D4" s="42" t="str">
        <x:v>暂停入账并人工复核</x:v>
      </x:c>
    </x:row>
    <x:row r="5">
      <x:c r="A5" s="40" t="str">
        <x:v>R11</x:v>
      </x:c>
      <x:c r="B5" s="41" t="str">
        <x:v>本批次发票代码+号码相同</x:v>
      </x:c>
      <x:c r="C5" s="41" t="str">
        <x:v>高</x:v>
      </x:c>
      <x:c r="D5" s="42" t="str">
        <x:v>暂停入账并人工复核</x:v>
      </x:c>
    </x:row>
    <x:row r="6">
      <x:c r="A6" s="40" t="str">
        <x:v>R20</x:v>
      </x:c>
      <x:c r="B6" s="41" t="str">
        <x:v>与历史台账发票代码+号码相同</x:v>
      </x:c>
      <x:c r="C6" s="41" t="str">
        <x:v>高</x:v>
      </x:c>
      <x:c r="D6" s="42" t="str">
        <x:v>暂停入账并人工复核</x:v>
      </x:c>
    </x:row>
    <x:row r="7">
      <x:c r="A7" s="43" t="str">
        <x:v>R30</x:v>
      </x:c>
      <x:c r="B7" s="44" t="str">
        <x:v>同销售方、同金额、日期相差不超过 3 天，号码不同</x:v>
      </x:c>
      <x:c r="C7" s="44" t="str">
        <x:v>中</x:v>
      </x:c>
      <x:c r="D7" s="45" t="str">
        <x:v>疑似重复，人工复核</x:v>
      </x:c>
    </x:row>
  </x:sheetData>
  <x:pageMargins left="0.7" right="0.7" top="0.75" bottom="0.75" header="0.3" footer="0.3"/>
</x:worksheet>
</file>